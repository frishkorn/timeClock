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120" windowWidth="27795" windowHeight="12585"/>
  </bookViews>
  <sheets>
    <sheet name="RECORD13" sheetId="1" r:id="rId1"/>
  </sheets>
  <calcPr calcId="0"/>
</workbook>
</file>

<file path=xl/calcChain.xml><?xml version="1.0" encoding="utf-8"?>
<calcChain xmlns="http://schemas.openxmlformats.org/spreadsheetml/2006/main">
  <c r="G28" i="1" l="1"/>
  <c r="G25" i="1"/>
  <c r="G19" i="1"/>
  <c r="G16" i="1"/>
  <c r="G13" i="1"/>
  <c r="G4" i="1"/>
  <c r="F28" i="1"/>
  <c r="F25" i="1"/>
  <c r="F22" i="1"/>
  <c r="G22" i="1" s="1"/>
  <c r="F19" i="1"/>
  <c r="F16" i="1"/>
  <c r="F13" i="1"/>
  <c r="F10" i="1"/>
  <c r="G10" i="1" s="1"/>
  <c r="F7" i="1"/>
  <c r="G7" i="1" s="1"/>
  <c r="F4" i="1"/>
  <c r="C28" i="1"/>
  <c r="C25" i="1"/>
  <c r="C22" i="1"/>
  <c r="C19" i="1"/>
  <c r="C16" i="1"/>
  <c r="C13" i="1"/>
  <c r="C10" i="1"/>
  <c r="C7" i="1"/>
  <c r="C4" i="1"/>
</calcChain>
</file>

<file path=xl/sharedStrings.xml><?xml version="1.0" encoding="utf-8"?>
<sst xmlns="http://schemas.openxmlformats.org/spreadsheetml/2006/main" count="54" uniqueCount="33">
  <si>
    <t>Date</t>
  </si>
  <si>
    <t>Time</t>
  </si>
  <si>
    <t>Project</t>
  </si>
  <si>
    <t xml:space="preserve"> 21:43:10</t>
  </si>
  <si>
    <t xml:space="preserve"> Project 1</t>
  </si>
  <si>
    <t xml:space="preserve"> 21:43:50</t>
  </si>
  <si>
    <t>Timer (ms)</t>
  </si>
  <si>
    <t xml:space="preserve"> 21:44:23</t>
  </si>
  <si>
    <t xml:space="preserve"> Project 2</t>
  </si>
  <si>
    <t xml:space="preserve"> 21:46:49</t>
  </si>
  <si>
    <t xml:space="preserve"> 21:47:0</t>
  </si>
  <si>
    <t xml:space="preserve"> Project 3</t>
  </si>
  <si>
    <t xml:space="preserve"> 21:51:11</t>
  </si>
  <si>
    <t xml:space="preserve"> 21:51:27</t>
  </si>
  <si>
    <t xml:space="preserve"> 21:52:23</t>
  </si>
  <si>
    <t xml:space="preserve"> 21:53:0</t>
  </si>
  <si>
    <t xml:space="preserve"> Project 4</t>
  </si>
  <si>
    <t xml:space="preserve"> 21:59:10</t>
  </si>
  <si>
    <t xml:space="preserve"> 22:10:15</t>
  </si>
  <si>
    <t xml:space="preserve"> Project 5</t>
  </si>
  <si>
    <t xml:space="preserve"> 22:24:26</t>
  </si>
  <si>
    <t xml:space="preserve"> 22:25:9</t>
  </si>
  <si>
    <t xml:space="preserve"> 22:25:19</t>
  </si>
  <si>
    <t xml:space="preserve"> 22:38:3</t>
  </si>
  <si>
    <t xml:space="preserve"> 22:44:42</t>
  </si>
  <si>
    <t xml:space="preserve"> 22:45:5</t>
  </si>
  <si>
    <t xml:space="preserve"> Project 6</t>
  </si>
  <si>
    <t xml:space="preserve"> 23:6:42</t>
  </si>
  <si>
    <t>Start</t>
  </si>
  <si>
    <t>End</t>
  </si>
  <si>
    <t>hh:mm:ss</t>
  </si>
  <si>
    <t>Difference</t>
  </si>
  <si>
    <t>Timer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</si>
</sst>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409]h:mm:ss\ AM/PM;@"/>
    <numFmt numFmtId="165" formatCode="[$-409]h:mm\ AM/PM;@"/>
    <numFmt numFmtId="166" formatCode="[$-F400]h:mm:ss\ AM/PM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7">
    <xf numFmtId="0" fontId="0" fillId="0" borderId="0" xfId="0"/>
    <xf numFmtId="0" fontId="18" fillId="0" borderId="10" xfId="0" applyFont="1" applyBorder="1"/>
    <xf numFmtId="14" fontId="0" fillId="33" borderId="11" xfId="0" applyNumberFormat="1" applyFill="1" applyBorder="1"/>
    <xf numFmtId="164" fontId="0" fillId="33" borderId="11" xfId="0" applyNumberFormat="1" applyFill="1" applyBorder="1"/>
    <xf numFmtId="0" fontId="0" fillId="33" borderId="11" xfId="0" applyFill="1" applyBorder="1"/>
    <xf numFmtId="165" fontId="0" fillId="0" borderId="0" xfId="0" applyNumberFormat="1"/>
    <xf numFmtId="14" fontId="0" fillId="34" borderId="12" xfId="0" applyNumberFormat="1" applyFill="1" applyBorder="1"/>
    <xf numFmtId="166" fontId="0" fillId="34" borderId="12" xfId="0" applyNumberFormat="1" applyFill="1" applyBorder="1"/>
    <xf numFmtId="0" fontId="0" fillId="34" borderId="12" xfId="0" applyFill="1" applyBorder="1"/>
    <xf numFmtId="21" fontId="0" fillId="0" borderId="0" xfId="0" applyNumberFormat="1"/>
    <xf numFmtId="0" fontId="0" fillId="35" borderId="12" xfId="0" applyFill="1" applyBorder="1"/>
    <xf numFmtId="166" fontId="0" fillId="36" borderId="12" xfId="0" applyNumberFormat="1" applyFill="1" applyBorder="1"/>
    <xf numFmtId="21" fontId="0" fillId="37" borderId="12" xfId="0" applyNumberFormat="1" applyFill="1" applyBorder="1"/>
    <xf numFmtId="21" fontId="0" fillId="38" borderId="12" xfId="0" applyNumberFormat="1" applyFill="1" applyBorder="1"/>
    <xf numFmtId="14" fontId="0" fillId="33" borderId="12" xfId="0" applyNumberFormat="1" applyFill="1" applyBorder="1"/>
    <xf numFmtId="166" fontId="0" fillId="33" borderId="12" xfId="0" applyNumberFormat="1" applyFill="1" applyBorder="1"/>
    <xf numFmtId="0" fontId="0" fillId="33" borderId="12" xfId="0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8"/>
  <sheetViews>
    <sheetView tabSelected="1" workbookViewId="0">
      <selection activeCell="E29" sqref="E29"/>
    </sheetView>
  </sheetViews>
  <sheetFormatPr defaultRowHeight="15" x14ac:dyDescent="0.25"/>
  <cols>
    <col min="1" max="1" width="10.7109375" bestFit="1" customWidth="1"/>
    <col min="2" max="2" width="8.5703125" bestFit="1" customWidth="1"/>
    <col min="3" max="3" width="11.7109375" bestFit="1" customWidth="1"/>
    <col min="4" max="4" width="11.42578125" bestFit="1" customWidth="1"/>
    <col min="5" max="5" width="11.5703125" bestFit="1" customWidth="1"/>
    <col min="6" max="6" width="9.5703125" bestFit="1" customWidth="1"/>
    <col min="7" max="7" width="10.5703125" bestFit="1" customWidth="1"/>
  </cols>
  <sheetData>
    <row r="1" spans="1:7" ht="15.75" thickBot="1" x14ac:dyDescent="0.3">
      <c r="A1" s="1" t="s">
        <v>0</v>
      </c>
      <c r="B1" s="1" t="s">
        <v>1</v>
      </c>
      <c r="C1" s="1" t="s">
        <v>2</v>
      </c>
      <c r="D1" s="1" t="s">
        <v>28</v>
      </c>
      <c r="E1" s="1" t="s">
        <v>29</v>
      </c>
      <c r="F1" s="1" t="s">
        <v>32</v>
      </c>
      <c r="G1" s="1" t="s">
        <v>31</v>
      </c>
    </row>
    <row r="2" spans="1:7" x14ac:dyDescent="0.25">
      <c r="A2" s="2">
        <v>42366</v>
      </c>
      <c r="B2" s="3" t="s">
        <v>3</v>
      </c>
      <c r="C2" s="4" t="s">
        <v>4</v>
      </c>
      <c r="E2" s="5"/>
      <c r="F2" t="s">
        <v>30</v>
      </c>
      <c r="G2" t="s">
        <v>30</v>
      </c>
    </row>
    <row r="3" spans="1:7" x14ac:dyDescent="0.25">
      <c r="A3" s="6">
        <v>42366</v>
      </c>
      <c r="B3" s="7" t="s">
        <v>5</v>
      </c>
      <c r="C3" s="8" t="s">
        <v>4</v>
      </c>
      <c r="E3" s="5"/>
      <c r="F3" s="9"/>
    </row>
    <row r="4" spans="1:7" x14ac:dyDescent="0.25">
      <c r="A4" s="10" t="s">
        <v>6</v>
      </c>
      <c r="B4" s="10">
        <v>40227</v>
      </c>
      <c r="C4" s="10" t="str">
        <f>CONCATENATE(TEXT(INT(B4/1000)/86400,"hh:mm:ss"),".",B4-(INT(B4/1000)*1000))</f>
        <v>00:00:40.227</v>
      </c>
      <c r="D4" s="11">
        <v>0.90497685185185184</v>
      </c>
      <c r="E4" s="11">
        <v>0.90543981481481473</v>
      </c>
      <c r="F4" s="12">
        <f>E4-D4</f>
        <v>4.629629629628873E-4</v>
      </c>
      <c r="G4" s="13">
        <f>ABS(F4-C4)</f>
        <v>2.6273148148905196E-6</v>
      </c>
    </row>
    <row r="5" spans="1:7" x14ac:dyDescent="0.25">
      <c r="A5" s="14">
        <v>42366</v>
      </c>
      <c r="B5" s="15" t="s">
        <v>7</v>
      </c>
      <c r="C5" s="16" t="s">
        <v>8</v>
      </c>
      <c r="E5" s="5"/>
    </row>
    <row r="6" spans="1:7" x14ac:dyDescent="0.25">
      <c r="A6" s="6">
        <v>42366</v>
      </c>
      <c r="B6" s="7" t="s">
        <v>9</v>
      </c>
      <c r="C6" s="8" t="s">
        <v>8</v>
      </c>
      <c r="E6" s="5"/>
    </row>
    <row r="7" spans="1:7" x14ac:dyDescent="0.25">
      <c r="A7" s="10" t="s">
        <v>6</v>
      </c>
      <c r="B7" s="10">
        <v>145906</v>
      </c>
      <c r="C7" s="10" t="str">
        <f>CONCATENATE(TEXT(INT(B7/1000)/86400,"hh:mm:ss"),".",B7-(INT(B7/1000)*1000))</f>
        <v>00:02:25.906</v>
      </c>
      <c r="D7" s="11">
        <v>0.90582175925925934</v>
      </c>
      <c r="E7" s="11">
        <v>0.90751157407407401</v>
      </c>
      <c r="F7" s="12">
        <f>E7-D7</f>
        <v>1.6898148148146719E-3</v>
      </c>
      <c r="G7" s="13">
        <f>ABS(F7-C7)</f>
        <v>1.0879629628202537E-6</v>
      </c>
    </row>
    <row r="8" spans="1:7" x14ac:dyDescent="0.25">
      <c r="A8" s="14">
        <v>42366</v>
      </c>
      <c r="B8" s="15" t="s">
        <v>10</v>
      </c>
      <c r="C8" s="16" t="s">
        <v>11</v>
      </c>
      <c r="E8" s="5"/>
    </row>
    <row r="9" spans="1:7" x14ac:dyDescent="0.25">
      <c r="A9" s="6">
        <v>42366</v>
      </c>
      <c r="B9" s="7" t="s">
        <v>12</v>
      </c>
      <c r="C9" s="8" t="s">
        <v>11</v>
      </c>
      <c r="E9" s="5"/>
    </row>
    <row r="10" spans="1:7" x14ac:dyDescent="0.25">
      <c r="A10" s="10" t="s">
        <v>6</v>
      </c>
      <c r="B10" s="10">
        <v>250272</v>
      </c>
      <c r="C10" s="10" t="str">
        <f>CONCATENATE(TEXT(INT(B10/1000)/86400,"hh:mm:ss"),".",B10-(INT(B10/1000)*1000))</f>
        <v>00:04:10.272</v>
      </c>
      <c r="D10" s="11">
        <v>0.90763888888888899</v>
      </c>
      <c r="E10" s="11">
        <v>0.91054398148148152</v>
      </c>
      <c r="F10" s="12">
        <f>E10-D10</f>
        <v>2.9050925925925286E-3</v>
      </c>
      <c r="G10" s="13">
        <f>ABS(F10-C10)</f>
        <v>8.4259259258618636E-6</v>
      </c>
    </row>
    <row r="11" spans="1:7" x14ac:dyDescent="0.25">
      <c r="A11" s="14">
        <v>42366</v>
      </c>
      <c r="B11" s="15" t="s">
        <v>13</v>
      </c>
      <c r="C11" s="16" t="s">
        <v>11</v>
      </c>
      <c r="E11" s="5"/>
    </row>
    <row r="12" spans="1:7" x14ac:dyDescent="0.25">
      <c r="A12" s="6">
        <v>42366</v>
      </c>
      <c r="B12" s="7" t="s">
        <v>14</v>
      </c>
      <c r="C12" s="8" t="s">
        <v>11</v>
      </c>
      <c r="E12" s="5"/>
    </row>
    <row r="13" spans="1:7" x14ac:dyDescent="0.25">
      <c r="A13" s="10" t="s">
        <v>6</v>
      </c>
      <c r="B13" s="10">
        <v>55589</v>
      </c>
      <c r="C13" s="10" t="str">
        <f>CONCATENATE(TEXT(INT(B13/1000)/86400,"hh:mm:ss"),".",B13-(INT(B13/1000)*1000))</f>
        <v>00:00:55.589</v>
      </c>
      <c r="D13" s="11">
        <v>0.9107291666666667</v>
      </c>
      <c r="E13" s="11">
        <v>0.91137731481481488</v>
      </c>
      <c r="F13" s="12">
        <f>E13-D13</f>
        <v>6.4814814814817545E-4</v>
      </c>
      <c r="G13" s="13">
        <f>ABS(F13-C13)</f>
        <v>4.7569444444718135E-6</v>
      </c>
    </row>
    <row r="14" spans="1:7" x14ac:dyDescent="0.25">
      <c r="A14" s="14">
        <v>42366</v>
      </c>
      <c r="B14" s="15" t="s">
        <v>15</v>
      </c>
      <c r="C14" s="16" t="s">
        <v>16</v>
      </c>
      <c r="E14" s="5"/>
    </row>
    <row r="15" spans="1:7" x14ac:dyDescent="0.25">
      <c r="A15" s="6">
        <v>42366</v>
      </c>
      <c r="B15" s="7" t="s">
        <v>17</v>
      </c>
      <c r="C15" s="8" t="s">
        <v>16</v>
      </c>
      <c r="E15" s="5"/>
    </row>
    <row r="16" spans="1:7" x14ac:dyDescent="0.25">
      <c r="A16" s="10" t="s">
        <v>6</v>
      </c>
      <c r="B16" s="10">
        <v>369818</v>
      </c>
      <c r="C16" s="10" t="str">
        <f>CONCATENATE(TEXT(INT(B16/1000)/86400,"hh:mm:ss"),".",B16-(INT(B16/1000)*1000))</f>
        <v>00:06:09.818</v>
      </c>
      <c r="D16" s="11">
        <v>0.91180555555555554</v>
      </c>
      <c r="E16" s="11">
        <v>0.91608796296296291</v>
      </c>
      <c r="F16" s="12">
        <f>E16-D16</f>
        <v>4.2824074074073737E-3</v>
      </c>
      <c r="G16" s="13">
        <f>ABS(F16-C16)</f>
        <v>2.1064814814475766E-6</v>
      </c>
    </row>
    <row r="17" spans="1:7" x14ac:dyDescent="0.25">
      <c r="A17" s="2">
        <v>42366</v>
      </c>
      <c r="B17" s="3" t="s">
        <v>18</v>
      </c>
      <c r="C17" s="4" t="s">
        <v>19</v>
      </c>
      <c r="E17" s="5"/>
    </row>
    <row r="18" spans="1:7" x14ac:dyDescent="0.25">
      <c r="A18" s="6">
        <v>42366</v>
      </c>
      <c r="B18" s="7" t="s">
        <v>20</v>
      </c>
      <c r="C18" s="8" t="s">
        <v>19</v>
      </c>
      <c r="E18" s="5"/>
      <c r="F18" s="9"/>
    </row>
    <row r="19" spans="1:7" x14ac:dyDescent="0.25">
      <c r="A19" s="10" t="s">
        <v>6</v>
      </c>
      <c r="B19" s="10">
        <v>850510</v>
      </c>
      <c r="C19" s="10" t="str">
        <f>CONCATENATE(TEXT(INT(B19/1000)/86400,"hh:mm:ss"),".",B19-(INT(B19/1000)*1000))</f>
        <v>00:14:10.510</v>
      </c>
      <c r="D19" s="11">
        <v>0.9237847222222223</v>
      </c>
      <c r="E19" s="11">
        <v>0.93363425925925936</v>
      </c>
      <c r="F19" s="12">
        <f>E19-D19</f>
        <v>9.8495370370370594E-3</v>
      </c>
      <c r="G19" s="13">
        <f>ABS(F19-C19)</f>
        <v>5.6712962963195723E-6</v>
      </c>
    </row>
    <row r="20" spans="1:7" x14ac:dyDescent="0.25">
      <c r="A20" s="14">
        <v>42366</v>
      </c>
      <c r="B20" s="15" t="s">
        <v>21</v>
      </c>
      <c r="C20" s="16" t="s">
        <v>19</v>
      </c>
      <c r="E20" s="5"/>
    </row>
    <row r="21" spans="1:7" x14ac:dyDescent="0.25">
      <c r="A21" s="6">
        <v>42366</v>
      </c>
      <c r="B21" s="7" t="s">
        <v>22</v>
      </c>
      <c r="C21" s="8" t="s">
        <v>19</v>
      </c>
      <c r="E21" s="5"/>
    </row>
    <row r="22" spans="1:7" x14ac:dyDescent="0.25">
      <c r="A22" s="10" t="s">
        <v>6</v>
      </c>
      <c r="B22" s="10">
        <v>10056</v>
      </c>
      <c r="C22" s="10" t="str">
        <f>CONCATENATE(TEXT(INT(B22/1000)/86400,"hh:mm:ss"),".",B22-(INT(B22/1000)*1000))</f>
        <v>00:00:10.56</v>
      </c>
      <c r="D22" s="11">
        <v>0.93413194444444436</v>
      </c>
      <c r="E22" s="11">
        <v>0.93424768518518519</v>
      </c>
      <c r="F22" s="12">
        <f>E22-D22</f>
        <v>1.1574074074083285E-4</v>
      </c>
      <c r="G22" s="13">
        <f>ABS(F22-C22)</f>
        <v>6.4814814813893935E-6</v>
      </c>
    </row>
    <row r="23" spans="1:7" x14ac:dyDescent="0.25">
      <c r="A23" s="14">
        <v>42366</v>
      </c>
      <c r="B23" s="15" t="s">
        <v>23</v>
      </c>
      <c r="C23" s="16" t="s">
        <v>11</v>
      </c>
      <c r="E23" s="5"/>
    </row>
    <row r="24" spans="1:7" x14ac:dyDescent="0.25">
      <c r="A24" s="6">
        <v>42366</v>
      </c>
      <c r="B24" s="7" t="s">
        <v>24</v>
      </c>
      <c r="C24" s="8" t="s">
        <v>11</v>
      </c>
      <c r="E24" s="5"/>
    </row>
    <row r="25" spans="1:7" x14ac:dyDescent="0.25">
      <c r="A25" s="10" t="s">
        <v>6</v>
      </c>
      <c r="B25" s="10">
        <v>397770</v>
      </c>
      <c r="C25" s="10" t="str">
        <f>CONCATENATE(TEXT(INT(B25/1000)/86400,"hh:mm:ss"),".",B25-(INT(B25/1000)*1000))</f>
        <v>00:06:37.770</v>
      </c>
      <c r="D25" s="11">
        <v>0.94309027777777776</v>
      </c>
      <c r="E25" s="11">
        <v>0.94770833333333337</v>
      </c>
      <c r="F25" s="12">
        <f>E25-D25</f>
        <v>4.6180555555556113E-3</v>
      </c>
      <c r="G25" s="13">
        <f>ABS(F25-C25)</f>
        <v>1.4236111111167078E-5</v>
      </c>
    </row>
    <row r="26" spans="1:7" x14ac:dyDescent="0.25">
      <c r="A26" s="14">
        <v>42366</v>
      </c>
      <c r="B26" s="15" t="s">
        <v>25</v>
      </c>
      <c r="C26" s="16" t="s">
        <v>26</v>
      </c>
      <c r="E26" s="5"/>
    </row>
    <row r="27" spans="1:7" x14ac:dyDescent="0.25">
      <c r="A27" s="6">
        <v>42366</v>
      </c>
      <c r="B27" s="7" t="s">
        <v>27</v>
      </c>
      <c r="C27" s="8" t="s">
        <v>26</v>
      </c>
      <c r="E27" s="5"/>
    </row>
    <row r="28" spans="1:7" x14ac:dyDescent="0.25">
      <c r="A28" s="10" t="s">
        <v>6</v>
      </c>
      <c r="B28" s="10">
        <v>1296126</v>
      </c>
      <c r="C28" s="10" t="str">
        <f>CONCATENATE(TEXT(INT(B28/1000)/86400,"hh:mm:ss"),".",B28-(INT(B28/1000)*1000))</f>
        <v>00:21:36.126</v>
      </c>
      <c r="D28" s="11">
        <v>0.94797453703703705</v>
      </c>
      <c r="E28" s="11">
        <v>0.96298611111111121</v>
      </c>
      <c r="F28" s="12">
        <f>E28-D28</f>
        <v>1.5011574074074163E-2</v>
      </c>
      <c r="G28" s="13">
        <f>ABS(F28-C28)</f>
        <v>1.0115740740829562E-5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RECORD13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Frishkorn, Chris</dc:creator>
  <cp:lastModifiedBy>Frishkorn, Chris</cp:lastModifiedBy>
  <dcterms:created xsi:type="dcterms:W3CDTF">2015-12-29T04:43:24Z</dcterms:created>
  <dcterms:modified xsi:type="dcterms:W3CDTF">2015-12-29T04:44:30Z</dcterms:modified>
</cp:coreProperties>
</file>